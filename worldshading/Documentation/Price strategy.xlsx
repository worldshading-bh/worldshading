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comm\AppData\Local\Microsoft\Olk\Attachments\ooa-d8aaad47-16a2-4f19-af12-548280e8c7d8\98e8af19bbba51eb46e03068df9b30755a0da57f74a275557e4de378c0124bb2\"/>
    </mc:Choice>
  </mc:AlternateContent>
  <xr:revisionPtr revIDLastSave="0" documentId="13_ncr:1_{3EFA688F-48E0-4392-A98D-0581E6947502}" xr6:coauthVersionLast="47" xr6:coauthVersionMax="47" xr10:uidLastSave="{00000000-0000-0000-0000-000000000000}"/>
  <bookViews>
    <workbookView xWindow="-108" yWindow="-108" windowWidth="23256" windowHeight="12456" xr2:uid="{3B03A8C7-EBAA-41F7-9CA0-015D374C3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" i="1" l="1"/>
  <c r="D22" i="1" s="1"/>
  <c r="E22" i="1" s="1"/>
  <c r="F22" i="1" s="1"/>
  <c r="G22" i="1" s="1"/>
  <c r="C26" i="1"/>
  <c r="C27" i="1" s="1"/>
  <c r="C25" i="1"/>
  <c r="E7" i="1"/>
  <c r="K7" i="1"/>
  <c r="K9" i="1" s="1"/>
  <c r="K10" i="1" s="1"/>
  <c r="K12" i="1" s="1"/>
  <c r="K15" i="1" s="1"/>
  <c r="M8" i="1"/>
  <c r="M6" i="1"/>
  <c r="H7" i="1"/>
  <c r="H9" i="1" s="1"/>
  <c r="H10" i="1" s="1"/>
  <c r="H12" i="1" s="1"/>
  <c r="H15" i="1" s="1"/>
  <c r="J7" i="1"/>
  <c r="J9" i="1" s="1"/>
  <c r="J10" i="1" s="1"/>
  <c r="J12" i="1" s="1"/>
  <c r="I7" i="1"/>
  <c r="I9" i="1" s="1"/>
  <c r="I10" i="1" s="1"/>
  <c r="F7" i="1"/>
  <c r="F9" i="1" s="1"/>
  <c r="F10" i="1" s="1"/>
  <c r="F12" i="1" s="1"/>
  <c r="D26" i="1" l="1"/>
  <c r="G26" i="1"/>
  <c r="F26" i="1" s="1"/>
  <c r="H22" i="1"/>
  <c r="T27" i="1"/>
  <c r="T29" i="1" s="1"/>
  <c r="H13" i="1"/>
  <c r="K26" i="1"/>
  <c r="N26" i="1"/>
  <c r="Q27" i="1"/>
  <c r="Q29" i="1" s="1"/>
  <c r="N27" i="1"/>
  <c r="N29" i="1" s="1"/>
  <c r="Q26" i="1"/>
  <c r="T26" i="1"/>
  <c r="K27" i="1"/>
  <c r="K29" i="1" s="1"/>
  <c r="G27" i="1"/>
  <c r="G29" i="1" s="1"/>
  <c r="D27" i="1"/>
  <c r="D29" i="1" s="1"/>
  <c r="M7" i="1"/>
  <c r="E9" i="1"/>
  <c r="I12" i="1"/>
  <c r="J15" i="1"/>
  <c r="K13" i="1"/>
  <c r="J13" i="1"/>
  <c r="F15" i="1"/>
  <c r="F27" i="1" l="1"/>
  <c r="J27" i="1"/>
  <c r="M27" i="1"/>
  <c r="P27" i="1"/>
  <c r="S27" i="1"/>
  <c r="E26" i="1"/>
  <c r="O27" i="1"/>
  <c r="R27" i="1"/>
  <c r="I27" i="1"/>
  <c r="L27" i="1"/>
  <c r="M26" i="1"/>
  <c r="E27" i="1"/>
  <c r="S26" i="1"/>
  <c r="P26" i="1"/>
  <c r="J26" i="1"/>
  <c r="I26" i="1"/>
  <c r="O26" i="1"/>
  <c r="L26" i="1"/>
  <c r="R26" i="1"/>
  <c r="M9" i="1"/>
  <c r="E10" i="1"/>
  <c r="I13" i="1"/>
  <c r="I15" i="1"/>
  <c r="E12" i="1" l="1"/>
  <c r="F13" i="1" s="1"/>
  <c r="U27" i="1"/>
  <c r="V26" i="1"/>
  <c r="U26" i="1"/>
  <c r="V27" i="1"/>
  <c r="M10" i="1"/>
  <c r="M12" i="1" l="1"/>
  <c r="F17" i="1"/>
  <c r="M13" i="1"/>
  <c r="K17" i="1"/>
  <c r="H17" i="1"/>
  <c r="E15" i="1"/>
  <c r="M15" i="1" s="1"/>
  <c r="J17" i="1"/>
  <c r="I17" i="1"/>
  <c r="M17" i="1" s="1"/>
</calcChain>
</file>

<file path=xl/sharedStrings.xml><?xml version="1.0" encoding="utf-8"?>
<sst xmlns="http://schemas.openxmlformats.org/spreadsheetml/2006/main" count="53" uniqueCount="38">
  <si>
    <t>5--9</t>
  </si>
  <si>
    <t>10--19</t>
  </si>
  <si>
    <t>20--39</t>
  </si>
  <si>
    <t>Reguler price</t>
  </si>
  <si>
    <t>Cost price</t>
  </si>
  <si>
    <t>40---1000</t>
  </si>
  <si>
    <t>Total Dsco</t>
  </si>
  <si>
    <t>Avreg</t>
  </si>
  <si>
    <t>Update Dsco Pricing roll</t>
  </si>
  <si>
    <t>Vat</t>
  </si>
  <si>
    <t>Price</t>
  </si>
  <si>
    <t>Price + Vat</t>
  </si>
  <si>
    <t>Margen</t>
  </si>
  <si>
    <t>-</t>
  </si>
  <si>
    <t>Titel</t>
  </si>
  <si>
    <t>ROUND PRICE</t>
  </si>
  <si>
    <t>Acuret Margen</t>
  </si>
  <si>
    <t>B2B Price</t>
  </si>
  <si>
    <t>Wholesale</t>
  </si>
  <si>
    <t>KSA0001</t>
  </si>
  <si>
    <t xml:space="preserve">Code </t>
  </si>
  <si>
    <t>Item name</t>
  </si>
  <si>
    <t>System price Run</t>
  </si>
  <si>
    <t>KSA0002</t>
  </si>
  <si>
    <t>Pvc Turpuline 680 UV KSA Rakaz</t>
  </si>
  <si>
    <t>B2B Price Margin</t>
  </si>
  <si>
    <t>Reguler price Margin</t>
  </si>
  <si>
    <t>Wholesale Price Margin 5 to 9 (1)</t>
  </si>
  <si>
    <t>Wholesale Price Margin 10 to 19 (2)</t>
  </si>
  <si>
    <t>Wholesale Price Margin 20 to 39 (3)</t>
  </si>
  <si>
    <t>Wholesale Price Margin 40 to 1000 (4)</t>
  </si>
  <si>
    <t>B2B Price Rounded Margin</t>
  </si>
  <si>
    <t>Wholesale Price 5 to 9 (1)</t>
  </si>
  <si>
    <t>Wholesale Price 10 to 19 (2)</t>
  </si>
  <si>
    <t>Margin from the cost</t>
  </si>
  <si>
    <t>Ds%</t>
  </si>
  <si>
    <t xml:space="preserve">Avreg  Margin </t>
  </si>
  <si>
    <t>Avreg Ds%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</si>
</sst>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%"/>
    <numFmt numFmtId="165" formatCode="0.000"/>
    <numFmt numFmtId="166" formatCode="_([$BHD]\ * #,##0.000_);_([$BHD]\ * \(#,##0.000\);_([$BHD]\ * &quot;-&quot;???_);_(@_)"/>
    <numFmt numFmtId="167" formatCode="_([$BHD]\ * #,##0.00_);_([$BHD]\ * \(#,##0.00\);_([$BHD]\ 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6600FF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/>
    <xf numFmtId="0" fontId="0" fillId="2" borderId="0" xfId="0" applyFill="1"/>
    <xf numFmtId="9" fontId="0" fillId="0" borderId="1" xfId="0" applyNumberFormat="1" applyBorder="1"/>
    <xf numFmtId="9" fontId="2" fillId="0" borderId="1" xfId="0" applyNumberFormat="1" applyFont="1" applyBorder="1"/>
    <xf numFmtId="0" fontId="0" fillId="3" borderId="1" xfId="0" applyFill="1" applyBorder="1"/>
    <xf numFmtId="164" fontId="0" fillId="0" borderId="0" xfId="0" applyNumberFormat="1"/>
    <xf numFmtId="0" fontId="2" fillId="0" borderId="0" xfId="0" applyFont="1"/>
    <xf numFmtId="9" fontId="0" fillId="3" borderId="1" xfId="0" applyNumberFormat="1" applyFill="1" applyBorder="1"/>
    <xf numFmtId="164" fontId="2" fillId="0" borderId="1" xfId="0" applyNumberFormat="1" applyFont="1" applyBorder="1"/>
    <xf numFmtId="0" fontId="0" fillId="4" borderId="1" xfId="0" applyFill="1" applyBorder="1"/>
    <xf numFmtId="9" fontId="0" fillId="0" borderId="0" xfId="0" applyNumberFormat="1"/>
    <xf numFmtId="9" fontId="2" fillId="0" borderId="0" xfId="0" applyNumberFormat="1" applyFont="1"/>
    <xf numFmtId="165" fontId="0" fillId="0" borderId="0" xfId="0" applyNumberFormat="1"/>
    <xf numFmtId="164" fontId="0" fillId="0" borderId="0" xfId="1" applyNumberFormat="1" applyFont="1" applyFill="1" applyBorder="1"/>
    <xf numFmtId="164" fontId="0" fillId="3" borderId="1" xfId="1" applyNumberFormat="1" applyFont="1" applyFill="1" applyBorder="1"/>
    <xf numFmtId="0" fontId="0" fillId="2" borderId="3" xfId="0" applyFill="1" applyBorder="1"/>
    <xf numFmtId="9" fontId="0" fillId="2" borderId="3" xfId="0" applyNumberFormat="1" applyFill="1" applyBorder="1"/>
    <xf numFmtId="9" fontId="2" fillId="2" borderId="3" xfId="0" applyNumberFormat="1" applyFont="1" applyFill="1" applyBorder="1"/>
    <xf numFmtId="164" fontId="0" fillId="2" borderId="0" xfId="0" applyNumberFormat="1" applyFill="1"/>
    <xf numFmtId="164" fontId="4" fillId="2" borderId="3" xfId="1" applyNumberFormat="1" applyFont="1" applyFill="1" applyBorder="1"/>
    <xf numFmtId="0" fontId="0" fillId="5" borderId="1" xfId="0" applyFill="1" applyBorder="1"/>
    <xf numFmtId="165" fontId="0" fillId="5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/>
    <xf numFmtId="164" fontId="5" fillId="6" borderId="1" xfId="1" applyNumberFormat="1" applyFont="1" applyFill="1" applyBorder="1"/>
    <xf numFmtId="165" fontId="2" fillId="0" borderId="0" xfId="0" applyNumberFormat="1" applyFont="1"/>
    <xf numFmtId="164" fontId="0" fillId="0" borderId="1" xfId="1" applyNumberFormat="1" applyFont="1" applyBorder="1"/>
    <xf numFmtId="9" fontId="2" fillId="0" borderId="1" xfId="1" applyFont="1" applyBorder="1"/>
    <xf numFmtId="164" fontId="0" fillId="2" borderId="1" xfId="1" applyNumberFormat="1" applyFont="1" applyFill="1" applyBorder="1"/>
    <xf numFmtId="165" fontId="0" fillId="2" borderId="0" xfId="0" applyNumberFormat="1" applyFill="1"/>
    <xf numFmtId="164" fontId="4" fillId="2" borderId="1" xfId="1" applyNumberFormat="1" applyFont="1" applyFill="1" applyBorder="1"/>
    <xf numFmtId="9" fontId="2" fillId="3" borderId="1" xfId="0" applyNumberFormat="1" applyFont="1" applyFill="1" applyBorder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164" fontId="2" fillId="3" borderId="1" xfId="0" applyNumberFormat="1" applyFont="1" applyFill="1" applyBorder="1"/>
    <xf numFmtId="0" fontId="0" fillId="7" borderId="2" xfId="0" applyFill="1" applyBorder="1"/>
    <xf numFmtId="0" fontId="0" fillId="7" borderId="0" xfId="0" applyFill="1"/>
    <xf numFmtId="166" fontId="3" fillId="2" borderId="3" xfId="0" applyNumberFormat="1" applyFont="1" applyFill="1" applyBorder="1"/>
    <xf numFmtId="166" fontId="5" fillId="2" borderId="3" xfId="0" applyNumberFormat="1" applyFont="1" applyFill="1" applyBorder="1"/>
    <xf numFmtId="166" fontId="5" fillId="3" borderId="1" xfId="0" applyNumberFormat="1" applyFont="1" applyFill="1" applyBorder="1"/>
    <xf numFmtId="166" fontId="3" fillId="7" borderId="2" xfId="0" applyNumberFormat="1" applyFont="1" applyFill="1" applyBorder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6" fontId="3" fillId="4" borderId="1" xfId="0" applyNumberFormat="1" applyFont="1" applyFill="1" applyBorder="1"/>
    <xf numFmtId="166" fontId="3" fillId="6" borderId="1" xfId="0" applyNumberFormat="1" applyFont="1" applyFill="1" applyBorder="1"/>
    <xf numFmtId="166" fontId="4" fillId="0" borderId="1" xfId="1" applyNumberFormat="1" applyFont="1" applyBorder="1"/>
    <xf numFmtId="0" fontId="0" fillId="8" borderId="1" xfId="0" applyFill="1" applyBorder="1" applyAlignment="1">
      <alignment horizontal="center" vertical="center"/>
    </xf>
    <xf numFmtId="165" fontId="0" fillId="0" borderId="1" xfId="0" applyNumberFormat="1" applyBorder="1"/>
    <xf numFmtId="167" fontId="0" fillId="0" borderId="0" xfId="0" applyNumberFormat="1"/>
    <xf numFmtId="9" fontId="0" fillId="0" borderId="1" xfId="1" applyFont="1" applyFill="1" applyBorder="1"/>
    <xf numFmtId="166" fontId="0" fillId="0" borderId="1" xfId="0" applyNumberFormat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6" fontId="2" fillId="0" borderId="0" xfId="0" applyNumberFormat="1" applyFont="1"/>
    <xf numFmtId="0" fontId="2" fillId="0" borderId="1" xfId="0" applyFont="1" applyBorder="1"/>
    <xf numFmtId="9" fontId="2" fillId="0" borderId="1" xfId="1" applyFont="1" applyFill="1" applyBorder="1"/>
    <xf numFmtId="164" fontId="0" fillId="0" borderId="1" xfId="1" applyNumberFormat="1" applyFont="1" applyFill="1" applyBorder="1"/>
    <xf numFmtId="164" fontId="0" fillId="0" borderId="1" xfId="0" applyNumberFormat="1" applyBorder="1"/>
    <xf numFmtId="164" fontId="2" fillId="0" borderId="0" xfId="0" applyNumberFormat="1" applyFont="1"/>
    <xf numFmtId="166" fontId="2" fillId="0" borderId="1" xfId="0" applyNumberFormat="1" applyFont="1" applyBorder="1"/>
    <xf numFmtId="164" fontId="2" fillId="0" borderId="1" xfId="1" applyNumberFormat="1" applyFont="1" applyFill="1" applyBorder="1"/>
    <xf numFmtId="165" fontId="2" fillId="0" borderId="1" xfId="0" applyNumberFormat="1" applyFont="1" applyBorder="1"/>
    <xf numFmtId="166" fontId="0" fillId="0" borderId="1" xfId="0" applyNumberFormat="1" applyBorder="1"/>
    <xf numFmtId="0" fontId="0" fillId="8" borderId="4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5050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D2DC-350E-44AD-B60F-4B5EF6B6EDE3}">
  <dimension ref="A1:V35"/>
  <sheetViews>
    <sheetView tabSelected="1" zoomScale="70" zoomScaleNormal="70" workbookViewId="0">
      <selection activeCell="D29" sqref="D29"/>
    </sheetView>
  </sheetViews>
  <sheetFormatPr defaultRowHeight="14.4" x14ac:dyDescent="0.3"/>
  <cols>
    <col min="1" max="1" width="8.109375" bestFit="1" customWidth="1"/>
    <col min="2" max="2" width="26.6640625" bestFit="1" customWidth="1"/>
    <col min="3" max="3" width="14.6640625" bestFit="1" customWidth="1"/>
    <col min="4" max="4" width="27.21875" bestFit="1" customWidth="1"/>
    <col min="5" max="6" width="29.21875" bestFit="1" customWidth="1"/>
    <col min="7" max="7" width="31.33203125" bestFit="1" customWidth="1"/>
    <col min="8" max="9" width="11.88671875" bestFit="1" customWidth="1"/>
    <col min="10" max="10" width="17.44140625" bestFit="1" customWidth="1"/>
    <col min="11" max="11" width="21.33203125" bestFit="1" customWidth="1"/>
    <col min="12" max="12" width="7.109375" bestFit="1" customWidth="1"/>
    <col min="13" max="13" width="17.44140625" bestFit="1" customWidth="1"/>
    <col min="14" max="14" width="23.33203125" bestFit="1" customWidth="1"/>
    <col min="15" max="15" width="8.109375" bestFit="1" customWidth="1"/>
    <col min="16" max="16" width="17.44140625" bestFit="1" customWidth="1"/>
    <col min="17" max="17" width="29.21875" bestFit="1" customWidth="1"/>
    <col min="18" max="18" width="8.109375" bestFit="1" customWidth="1"/>
    <col min="19" max="19" width="17.44140625" bestFit="1" customWidth="1"/>
    <col min="20" max="20" width="31.33203125" bestFit="1" customWidth="1"/>
    <col min="21" max="21" width="11.88671875" bestFit="1" customWidth="1"/>
    <col min="22" max="22" width="9.44140625" bestFit="1" customWidth="1"/>
  </cols>
  <sheetData>
    <row r="1" spans="3:13" x14ac:dyDescent="0.3">
      <c r="C1" s="38"/>
      <c r="E1" s="2"/>
      <c r="F1" s="33"/>
    </row>
    <row r="2" spans="3:13" x14ac:dyDescent="0.3">
      <c r="C2" s="38"/>
      <c r="E2" s="2"/>
      <c r="F2" s="33"/>
    </row>
    <row r="3" spans="3:13" x14ac:dyDescent="0.3">
      <c r="C3" s="38"/>
      <c r="E3" s="2"/>
      <c r="F3" s="33"/>
      <c r="H3" s="66" t="s">
        <v>18</v>
      </c>
      <c r="I3" s="66"/>
      <c r="J3" s="66"/>
      <c r="K3" s="66"/>
    </row>
    <row r="4" spans="3:13" x14ac:dyDescent="0.3">
      <c r="C4" s="38"/>
      <c r="E4" s="2"/>
      <c r="F4" s="33"/>
      <c r="H4" s="48">
        <v>1</v>
      </c>
      <c r="I4" s="48">
        <v>2</v>
      </c>
      <c r="J4" s="48">
        <v>3</v>
      </c>
      <c r="K4" s="48">
        <v>4</v>
      </c>
    </row>
    <row r="5" spans="3:13" x14ac:dyDescent="0.3">
      <c r="C5" s="37" t="s">
        <v>4</v>
      </c>
      <c r="D5" s="21" t="s">
        <v>14</v>
      </c>
      <c r="E5" s="16" t="s">
        <v>3</v>
      </c>
      <c r="F5" s="5" t="s">
        <v>17</v>
      </c>
      <c r="H5" s="10" t="s">
        <v>0</v>
      </c>
      <c r="I5" s="10" t="s">
        <v>1</v>
      </c>
      <c r="J5" s="10" t="s">
        <v>2</v>
      </c>
      <c r="K5" s="10" t="s">
        <v>5</v>
      </c>
      <c r="M5" s="1" t="s">
        <v>7</v>
      </c>
    </row>
    <row r="6" spans="3:13" x14ac:dyDescent="0.3">
      <c r="C6" s="42">
        <v>46</v>
      </c>
      <c r="D6" s="21" t="s">
        <v>12</v>
      </c>
      <c r="E6" s="17">
        <v>0.43</v>
      </c>
      <c r="F6" s="8">
        <v>0.33</v>
      </c>
      <c r="G6" s="11"/>
      <c r="H6" s="3">
        <v>0.31</v>
      </c>
      <c r="I6" s="3">
        <v>0.28999999999999998</v>
      </c>
      <c r="J6" s="3">
        <v>0.27</v>
      </c>
      <c r="K6" s="3">
        <v>0.25</v>
      </c>
      <c r="M6" s="28">
        <f t="shared" ref="M6:M10" si="0">AVERAGE(E6:K6)</f>
        <v>0.31333333333333335</v>
      </c>
    </row>
    <row r="7" spans="3:13" x14ac:dyDescent="0.3">
      <c r="C7" s="38"/>
      <c r="D7" s="22" t="s">
        <v>10</v>
      </c>
      <c r="E7" s="39">
        <f>$C6*E6+$C6</f>
        <v>65.78</v>
      </c>
      <c r="F7" s="43">
        <f>$C6*F6+$C6</f>
        <v>61.18</v>
      </c>
      <c r="G7" s="13"/>
      <c r="H7" s="44">
        <f>$C6*H6+$C6</f>
        <v>60.26</v>
      </c>
      <c r="I7" s="44">
        <f>$C6*I6+$C6</f>
        <v>59.34</v>
      </c>
      <c r="J7" s="44">
        <f>$C6*J6+$C6</f>
        <v>58.42</v>
      </c>
      <c r="K7" s="44">
        <f>$C6*K6+$C6</f>
        <v>57.5</v>
      </c>
      <c r="M7" s="47">
        <f t="shared" si="0"/>
        <v>60.413333333333334</v>
      </c>
    </row>
    <row r="8" spans="3:13" x14ac:dyDescent="0.3">
      <c r="C8" s="38"/>
      <c r="D8" s="23" t="s">
        <v>9</v>
      </c>
      <c r="E8" s="18">
        <v>0.1</v>
      </c>
      <c r="F8" s="32">
        <v>0.1</v>
      </c>
      <c r="G8" s="11"/>
      <c r="H8" s="4">
        <v>0.1</v>
      </c>
      <c r="I8" s="4">
        <v>0.1</v>
      </c>
      <c r="J8" s="4">
        <v>0.1</v>
      </c>
      <c r="K8" s="4">
        <v>0.1</v>
      </c>
      <c r="M8" s="28">
        <f t="shared" si="0"/>
        <v>9.9999999999999992E-2</v>
      </c>
    </row>
    <row r="9" spans="3:13" x14ac:dyDescent="0.3">
      <c r="C9" s="38"/>
      <c r="D9" s="22" t="s">
        <v>11</v>
      </c>
      <c r="E9" s="39">
        <f>E7*E8+E7</f>
        <v>72.358000000000004</v>
      </c>
      <c r="F9" s="43">
        <f t="shared" ref="F9:K9" si="1">F7*F8+F7</f>
        <v>67.298000000000002</v>
      </c>
      <c r="G9" s="13"/>
      <c r="H9" s="44">
        <f t="shared" si="1"/>
        <v>66.286000000000001</v>
      </c>
      <c r="I9" s="44">
        <f t="shared" si="1"/>
        <v>65.274000000000001</v>
      </c>
      <c r="J9" s="44">
        <f t="shared" si="1"/>
        <v>64.262</v>
      </c>
      <c r="K9" s="44">
        <f t="shared" si="1"/>
        <v>63.25</v>
      </c>
      <c r="M9" s="47">
        <f t="shared" si="0"/>
        <v>66.454666666666668</v>
      </c>
    </row>
    <row r="10" spans="3:13" x14ac:dyDescent="0.3">
      <c r="C10" s="38"/>
      <c r="D10" s="21" t="s">
        <v>15</v>
      </c>
      <c r="E10" s="39">
        <f>ROUND(E9,0)</f>
        <v>72</v>
      </c>
      <c r="F10" s="43">
        <f>ROUND(F9,0)</f>
        <v>67</v>
      </c>
      <c r="G10" s="13"/>
      <c r="H10" s="45">
        <f>ROUND(H9,0)</f>
        <v>66</v>
      </c>
      <c r="I10" s="45">
        <f>ROUND(I9,0)</f>
        <v>65</v>
      </c>
      <c r="J10" s="45">
        <f>ROUND(J9,0)</f>
        <v>64</v>
      </c>
      <c r="K10" s="45">
        <f>ROUND(K9,0)</f>
        <v>63</v>
      </c>
      <c r="M10" s="47">
        <f t="shared" si="0"/>
        <v>66.166666666666671</v>
      </c>
    </row>
    <row r="11" spans="3:13" x14ac:dyDescent="0.3">
      <c r="C11" s="38"/>
      <c r="E11" s="2"/>
      <c r="F11" s="33"/>
      <c r="M11" s="7"/>
    </row>
    <row r="12" spans="3:13" x14ac:dyDescent="0.3">
      <c r="C12" s="38"/>
      <c r="D12" s="24" t="s">
        <v>22</v>
      </c>
      <c r="E12" s="40">
        <f>E10/1.1</f>
        <v>65.454545454545453</v>
      </c>
      <c r="F12" s="41">
        <f>F10/1.1</f>
        <v>60.909090909090907</v>
      </c>
      <c r="G12" s="13"/>
      <c r="H12" s="46">
        <f>H10/1.1</f>
        <v>59.999999999999993</v>
      </c>
      <c r="I12" s="46">
        <f>I10/1.1</f>
        <v>59.090909090909086</v>
      </c>
      <c r="J12" s="46">
        <f>J10/1.1</f>
        <v>58.18181818181818</v>
      </c>
      <c r="K12" s="46">
        <f>K10/1.1</f>
        <v>57.272727272727266</v>
      </c>
      <c r="M12" s="47">
        <f>AVERAGE(E12:K12)</f>
        <v>60.151515151515149</v>
      </c>
    </row>
    <row r="13" spans="3:13" x14ac:dyDescent="0.3">
      <c r="C13" s="38"/>
      <c r="D13" s="24" t="s">
        <v>8</v>
      </c>
      <c r="E13" s="20" t="s">
        <v>13</v>
      </c>
      <c r="F13" s="15">
        <f>($E12-F12)/$E12</f>
        <v>6.9444444444444461E-2</v>
      </c>
      <c r="G13" s="14"/>
      <c r="H13" s="25">
        <f>($F12-H12)/$F12</f>
        <v>1.4925373134328433E-2</v>
      </c>
      <c r="I13" s="25">
        <f>($F12-I12)/$F12</f>
        <v>2.9850746268656751E-2</v>
      </c>
      <c r="J13" s="25">
        <f>($F12-J12)/$F12</f>
        <v>4.4776119402985065E-2</v>
      </c>
      <c r="K13" s="25">
        <f>($F12-K12)/$F12</f>
        <v>5.9701492537313501E-2</v>
      </c>
      <c r="M13" s="28">
        <f>AVERAGE(E13:K13)</f>
        <v>4.3739635157545642E-2</v>
      </c>
    </row>
    <row r="14" spans="3:13" x14ac:dyDescent="0.3">
      <c r="C14" s="38"/>
      <c r="E14" s="19"/>
      <c r="F14" s="34"/>
      <c r="G14" s="6"/>
      <c r="H14" s="6"/>
      <c r="I14" s="6"/>
      <c r="J14" s="6"/>
      <c r="K14" s="6"/>
      <c r="M14" s="7"/>
    </row>
    <row r="15" spans="3:13" x14ac:dyDescent="0.3">
      <c r="C15" s="38"/>
      <c r="D15" s="1" t="s">
        <v>16</v>
      </c>
      <c r="E15" s="29">
        <f>(E12-$C6)/$C6</f>
        <v>0.4229249011857707</v>
      </c>
      <c r="F15" s="15">
        <f t="shared" ref="F15:J15" si="2">(F12-$C6)/$C6</f>
        <v>0.32411067193675885</v>
      </c>
      <c r="G15" s="14"/>
      <c r="H15" s="27">
        <f t="shared" si="2"/>
        <v>0.30434782608695637</v>
      </c>
      <c r="I15" s="27">
        <f t="shared" si="2"/>
        <v>0.28458498023715406</v>
      </c>
      <c r="J15" s="27">
        <f t="shared" si="2"/>
        <v>0.26482213438735175</v>
      </c>
      <c r="K15" s="27">
        <f>(K12-$C6)/$C6</f>
        <v>0.24505928853754927</v>
      </c>
      <c r="M15" s="28">
        <f>AVERAGE(E15:K15)</f>
        <v>0.30764163372859016</v>
      </c>
    </row>
    <row r="16" spans="3:13" x14ac:dyDescent="0.3">
      <c r="C16" s="38"/>
      <c r="D16" s="13"/>
      <c r="E16" s="30"/>
      <c r="F16" s="35"/>
      <c r="G16" s="13"/>
      <c r="H16" s="13"/>
      <c r="I16" s="13"/>
      <c r="J16" s="13"/>
      <c r="K16" s="13"/>
      <c r="M16" s="7"/>
    </row>
    <row r="17" spans="1:22" x14ac:dyDescent="0.3">
      <c r="C17" s="38"/>
      <c r="D17" s="9" t="s">
        <v>6</v>
      </c>
      <c r="E17" s="31" t="s">
        <v>13</v>
      </c>
      <c r="F17" s="36">
        <f>F13</f>
        <v>6.9444444444444461E-2</v>
      </c>
      <c r="G17" s="6"/>
      <c r="H17" s="9">
        <f>H13+$F13</f>
        <v>8.436981757877289E-2</v>
      </c>
      <c r="I17" s="9">
        <f>I13+$F13</f>
        <v>9.9295190713101208E-2</v>
      </c>
      <c r="J17" s="9">
        <f>J13+$F13</f>
        <v>0.11422056384742953</v>
      </c>
      <c r="K17" s="9">
        <f>K13+$F13</f>
        <v>0.12914593698175797</v>
      </c>
      <c r="M17" s="28">
        <f>AVERAGE(F17,H17,I17,J17:K17)</f>
        <v>9.9295190713101208E-2</v>
      </c>
    </row>
    <row r="18" spans="1:22" x14ac:dyDescent="0.3">
      <c r="D18" s="13"/>
      <c r="E18" s="13"/>
      <c r="F18" s="13"/>
      <c r="G18" s="13"/>
      <c r="H18" s="13"/>
      <c r="I18" s="13"/>
      <c r="J18" s="13"/>
      <c r="K18" s="26"/>
    </row>
    <row r="19" spans="1:22" x14ac:dyDescent="0.3">
      <c r="A19" s="54" t="s">
        <v>9</v>
      </c>
      <c r="D19" s="13"/>
      <c r="E19" s="13"/>
      <c r="F19" s="13"/>
      <c r="G19" s="13"/>
      <c r="H19" s="13"/>
      <c r="I19" s="13"/>
      <c r="J19" s="13"/>
      <c r="K19" s="26"/>
    </row>
    <row r="20" spans="1:22" x14ac:dyDescent="0.3">
      <c r="A20" s="55">
        <v>0.1</v>
      </c>
      <c r="D20" s="13"/>
      <c r="E20" s="13"/>
      <c r="F20" s="13"/>
      <c r="G20" s="13"/>
      <c r="H20" s="13"/>
      <c r="I20" s="13"/>
      <c r="J20" s="13"/>
      <c r="K20" s="26"/>
    </row>
    <row r="21" spans="1:22" x14ac:dyDescent="0.3">
      <c r="A21" s="67"/>
      <c r="B21" s="52" t="s">
        <v>26</v>
      </c>
      <c r="C21" s="1" t="s">
        <v>25</v>
      </c>
      <c r="D21" s="49" t="s">
        <v>27</v>
      </c>
      <c r="E21" s="49" t="s">
        <v>28</v>
      </c>
      <c r="F21" s="49" t="s">
        <v>29</v>
      </c>
      <c r="G21" s="49" t="s">
        <v>30</v>
      </c>
      <c r="H21" s="57" t="s">
        <v>7</v>
      </c>
      <c r="J21" s="13"/>
      <c r="K21" s="26"/>
    </row>
    <row r="22" spans="1:22" x14ac:dyDescent="0.3">
      <c r="A22" s="67"/>
      <c r="B22" s="53">
        <v>0.43</v>
      </c>
      <c r="C22" s="3">
        <f>B22-10%</f>
        <v>0.32999999999999996</v>
      </c>
      <c r="D22" s="51">
        <f>C22-2%</f>
        <v>0.30999999999999994</v>
      </c>
      <c r="E22" s="51">
        <f>D22-2%</f>
        <v>0.28999999999999992</v>
      </c>
      <c r="F22" s="51">
        <f t="shared" ref="F22:G22" si="3">E22-2%</f>
        <v>0.26999999999999991</v>
      </c>
      <c r="G22" s="51">
        <f t="shared" si="3"/>
        <v>0.24999999999999992</v>
      </c>
      <c r="H22" s="58">
        <f>AVERAGE(B22:G22)</f>
        <v>0.3133333333333333</v>
      </c>
      <c r="J22" s="13"/>
      <c r="K22" s="13"/>
    </row>
    <row r="23" spans="1:22" x14ac:dyDescent="0.3">
      <c r="D23" s="13"/>
      <c r="E23" s="13"/>
      <c r="F23" s="13"/>
      <c r="G23" s="13"/>
      <c r="H23" s="13"/>
      <c r="I23" s="13"/>
      <c r="J23" s="13"/>
      <c r="K23" s="13"/>
    </row>
    <row r="24" spans="1:22" x14ac:dyDescent="0.3">
      <c r="D24" s="13"/>
      <c r="E24" s="13"/>
      <c r="F24" s="13"/>
      <c r="G24" s="13"/>
      <c r="H24" s="13"/>
      <c r="I24" s="13"/>
      <c r="J24" s="13"/>
      <c r="K24" s="13"/>
    </row>
    <row r="25" spans="1:22" x14ac:dyDescent="0.3">
      <c r="A25" s="57" t="s">
        <v>20</v>
      </c>
      <c r="B25" s="57" t="s">
        <v>21</v>
      </c>
      <c r="C25" s="57" t="str">
        <f>C5</f>
        <v>Cost price</v>
      </c>
      <c r="D25" s="57" t="s">
        <v>3</v>
      </c>
      <c r="E25" s="1" t="s">
        <v>31</v>
      </c>
      <c r="F25" s="1" t="s">
        <v>34</v>
      </c>
      <c r="G25" s="1" t="s">
        <v>17</v>
      </c>
      <c r="H25" s="1"/>
      <c r="I25" s="57" t="s">
        <v>35</v>
      </c>
      <c r="J25" s="57" t="s">
        <v>34</v>
      </c>
      <c r="K25" s="57" t="s">
        <v>32</v>
      </c>
      <c r="L25" s="1" t="s">
        <v>35</v>
      </c>
      <c r="M25" s="1" t="s">
        <v>34</v>
      </c>
      <c r="N25" s="49" t="s">
        <v>33</v>
      </c>
      <c r="O25" s="57" t="s">
        <v>35</v>
      </c>
      <c r="P25" s="57" t="s">
        <v>34</v>
      </c>
      <c r="Q25" s="64" t="s">
        <v>29</v>
      </c>
      <c r="R25" s="1" t="s">
        <v>35</v>
      </c>
      <c r="S25" s="1" t="s">
        <v>34</v>
      </c>
      <c r="T25" s="49" t="s">
        <v>30</v>
      </c>
      <c r="U25" s="1" t="s">
        <v>36</v>
      </c>
      <c r="V25" s="1" t="s">
        <v>37</v>
      </c>
    </row>
    <row r="26" spans="1:22" x14ac:dyDescent="0.3">
      <c r="A26" s="57" t="s">
        <v>19</v>
      </c>
      <c r="B26" s="57" t="s">
        <v>24</v>
      </c>
      <c r="C26" s="62">
        <f>C6</f>
        <v>46</v>
      </c>
      <c r="D26" s="62">
        <f>ROUND(ROUND(C26*(1+$B$22)*(1+$A$20),)/(1+$A$20),3)</f>
        <v>65.454999999999998</v>
      </c>
      <c r="E26" s="59">
        <f>($D26-$G26)/$D26</f>
        <v>6.9452295470170344E-2</v>
      </c>
      <c r="F26" s="60">
        <f>(G26-C26)/C26</f>
        <v>0.32410869565217387</v>
      </c>
      <c r="G26" s="65">
        <f>ROUND(ROUND(C26*(1+$C$22)*(1+$A$20),0)/(1+$A$20),3)</f>
        <v>60.908999999999999</v>
      </c>
      <c r="H26" s="1"/>
      <c r="I26" s="63">
        <f>($G26-$K26)/$G26</f>
        <v>1.4923902871496806E-2</v>
      </c>
      <c r="J26" s="9">
        <f>($K26-$C26)/$C26</f>
        <v>0.30434782608695654</v>
      </c>
      <c r="K26" s="62">
        <f>ROUND(ROUND(C26*(1+$D$22)*(1+$A$20),0)/(1+$A$20),3)</f>
        <v>60</v>
      </c>
      <c r="L26" s="59">
        <f>($G26-$N26)/$G26</f>
        <v>2.9847805742993613E-2</v>
      </c>
      <c r="M26" s="60">
        <f>($N26-$C26)/$C26</f>
        <v>0.28458695652173915</v>
      </c>
      <c r="N26" s="65">
        <f>ROUND(ROUND(C26*(1+$E$22)*(1+$A$20),0)/(1+$A$20),3)</f>
        <v>59.091000000000001</v>
      </c>
      <c r="O26" s="63">
        <f>($G26-$Q26)/$G26</f>
        <v>4.4771708614490417E-2</v>
      </c>
      <c r="P26" s="9">
        <f>($Q26-$C26)/$C26</f>
        <v>0.26482608695652177</v>
      </c>
      <c r="Q26" s="57">
        <f>ROUND(ROUND(C26*(1+$F$22)*(1+$A$20),0)/(1+$A$20),3)</f>
        <v>58.182000000000002</v>
      </c>
      <c r="R26" s="59">
        <f>($G26-$T26)/$G26</f>
        <v>5.9695611485987225E-2</v>
      </c>
      <c r="S26" s="60">
        <f>($T26-$C26)/$C26</f>
        <v>0.24506521739130441</v>
      </c>
      <c r="T26" s="1">
        <f>ROUND(ROUND(C26*(1+$G$22)*(1+$A$20),0)/(1+$A$20),3)</f>
        <v>57.273000000000003</v>
      </c>
      <c r="U26" s="3">
        <f>AVERAGE($B22,F26,J26,M26,P26,S26)</f>
        <v>0.30882246376811595</v>
      </c>
      <c r="V26" s="60">
        <f>AVERAGE(E26,I26,L26,O26,R26)</f>
        <v>4.3738264837027682E-2</v>
      </c>
    </row>
    <row r="27" spans="1:22" x14ac:dyDescent="0.3">
      <c r="A27" s="57" t="s">
        <v>23</v>
      </c>
      <c r="B27" s="57" t="s">
        <v>24</v>
      </c>
      <c r="C27" s="62">
        <f>C26</f>
        <v>46</v>
      </c>
      <c r="D27" s="62">
        <f>ROUND(ROUND(C27*(1+$B$22)*(1+$A$20),0)/(1+$A$20),3)</f>
        <v>65.454999999999998</v>
      </c>
      <c r="E27" s="59">
        <f>($D27-$G27)/$D27</f>
        <v>6.9452295470170344E-2</v>
      </c>
      <c r="F27" s="60">
        <f>(G27-C27)/C27</f>
        <v>0.32410869565217387</v>
      </c>
      <c r="G27" s="65">
        <f>ROUND(ROUND(C27*(1+$C$22)*(1+$A$20),0)/(1+$A$20),3)</f>
        <v>60.908999999999999</v>
      </c>
      <c r="H27" s="1"/>
      <c r="I27" s="63">
        <f>($G27-$K27)/$G27</f>
        <v>1.4923902871496806E-2</v>
      </c>
      <c r="J27" s="9">
        <f>($K27-$C27)/$C27</f>
        <v>0.30434782608695654</v>
      </c>
      <c r="K27" s="62">
        <f>ROUND(ROUND(C27*(1+$D$22)*(1+$A$20),0)/(1+$A$20),3)</f>
        <v>60</v>
      </c>
      <c r="L27" s="59">
        <f>($G27-$N27)/$G27</f>
        <v>2.9847805742993613E-2</v>
      </c>
      <c r="M27" s="60">
        <f>($N27-$C27)/$C27</f>
        <v>0.28458695652173915</v>
      </c>
      <c r="N27" s="65">
        <f>ROUND(ROUND(C27*(1+$E$22)*(1+$A$20),0)/(1+$A$20),3)</f>
        <v>59.091000000000001</v>
      </c>
      <c r="O27" s="63">
        <f>($G27-$Q27)/$G27</f>
        <v>4.4771708614490417E-2</v>
      </c>
      <c r="P27" s="9">
        <f>($Q27-$C27)/$C27</f>
        <v>0.26482608695652177</v>
      </c>
      <c r="Q27" s="57">
        <f>ROUND(ROUND(C27*(1+$F$22)*(1+$A$20),0)/(1+$A$20),3)</f>
        <v>58.182000000000002</v>
      </c>
      <c r="R27" s="59">
        <f>($G27-$T27)/$G27</f>
        <v>5.9695611485987225E-2</v>
      </c>
      <c r="S27" s="60">
        <f>($T27-$C27)/$C27</f>
        <v>0.24506521739130441</v>
      </c>
      <c r="T27" s="1">
        <f>ROUND(ROUND(C27*(1+$G$22)*(1+$A$20),0)/(1+$A$20),3)</f>
        <v>57.273000000000003</v>
      </c>
      <c r="U27" s="3">
        <f>AVERAGE($B22,F27,J27,M27,P27,S27)</f>
        <v>0.30882246376811595</v>
      </c>
      <c r="V27" s="60">
        <f>AVERAGE(E27,I27,L27,O27,R27)</f>
        <v>4.3738264837027682E-2</v>
      </c>
    </row>
    <row r="28" spans="1:22" x14ac:dyDescent="0.3">
      <c r="D28" s="7"/>
      <c r="E28" s="56"/>
      <c r="F28" s="12"/>
      <c r="G28" s="7"/>
      <c r="I28" s="6"/>
      <c r="L28" s="6"/>
      <c r="M28" s="7"/>
      <c r="N28" s="61"/>
      <c r="O28" s="6"/>
      <c r="R28" s="6"/>
    </row>
    <row r="29" spans="1:22" x14ac:dyDescent="0.3">
      <c r="D29" s="50">
        <f>D27*10%+D27</f>
        <v>72.000500000000002</v>
      </c>
      <c r="F29" s="11"/>
      <c r="G29" s="50">
        <f>G27*10%+G27</f>
        <v>66.999899999999997</v>
      </c>
      <c r="K29" s="50">
        <f>K27*10%+K27</f>
        <v>66</v>
      </c>
      <c r="N29" s="50">
        <f>N27*10%+N27</f>
        <v>65.000100000000003</v>
      </c>
      <c r="Q29" s="50">
        <f>Q27*10%+Q27</f>
        <v>64.000200000000007</v>
      </c>
      <c r="T29" s="50">
        <f>T27*10%+T27</f>
        <v>63.000300000000003</v>
      </c>
    </row>
    <row r="30" spans="1:22" x14ac:dyDescent="0.3">
      <c r="D30" s="50"/>
      <c r="F30" s="50"/>
      <c r="K30" s="50"/>
      <c r="N30" s="50"/>
      <c r="Q30" s="50"/>
      <c r="T30" s="50"/>
    </row>
    <row r="32" spans="1:22" x14ac:dyDescent="0.3">
      <c r="K32" s="50"/>
      <c r="N32" s="50"/>
      <c r="Q32" s="50"/>
      <c r="T32" s="50"/>
    </row>
    <row r="33" spans="5:5" x14ac:dyDescent="0.3">
      <c r="E33" s="50"/>
    </row>
    <row r="34" spans="5:5" x14ac:dyDescent="0.3">
      <c r="E34" s="50"/>
    </row>
    <row r="35" spans="5:5" x14ac:dyDescent="0.3">
      <c r="E35" s="50"/>
    </row>
  </sheetData>
  <mergeCells count="2">
    <mergeCell ref="H3:K3"/>
    <mergeCell ref="A21:A2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Aljad</dc:creator>
  <cp:lastModifiedBy>Hussain Aljad</cp:lastModifiedBy>
  <dcterms:created xsi:type="dcterms:W3CDTF">2026-09-18T08:11:24Z</dcterms:created>
  <dcterms:modified xsi:type="dcterms:W3CDTF">2026-09-21T12:04:00Z</dcterms:modified>
</cp:coreProperties>
</file>