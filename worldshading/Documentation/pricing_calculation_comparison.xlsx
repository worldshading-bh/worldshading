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omparison" sheetId="1" state="visible" r:id="rId1"/>
  </sheets>
  <definedNames>
    <definedName name="_xlnm._FilterDatabase" localSheetId="0" hidden="1">'Price Comparison'!$A$26:$E$32</definedName>
    <definedName name="_xlnm.Print_Area" localSheetId="0">'Price Comparison'!$A$1:$R$32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&quot;BHD &quot;0.000"/>
    <numFmt numFmtId="165" formatCode="0.000&quot;%&quot;"/>
    <numFmt numFmtId="166" formatCode="0.00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pivotButton="0" quotePrefix="0" xfId="0"/>
    <xf numFmtId="0" fontId="0" fillId="4" borderId="1" applyAlignment="1" pivotButton="0" quotePrefix="0" xfId="0">
      <alignment vertical="center" wrapText="1"/>
    </xf>
    <xf numFmtId="0" fontId="0" fillId="0" borderId="1" pivotButton="0" quotePrefix="0" xfId="0"/>
    <xf numFmtId="164" fontId="3" fillId="3" borderId="1" pivotButton="0" quotePrefix="0" xfId="0"/>
    <xf numFmtId="165" fontId="3" fillId="3" borderId="1" pivotButton="0" quotePrefix="0" xfId="0"/>
    <xf numFmtId="0" fontId="2" fillId="2" borderId="0" applyAlignment="1" pivotButton="0" quotePrefix="0" xfId="0">
      <alignment horizontal="center"/>
    </xf>
    <xf numFmtId="0" fontId="3" fillId="5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wrapText="1"/>
    </xf>
    <xf numFmtId="165" fontId="0" fillId="0" borderId="1" pivotButton="0" quotePrefix="0" xfId="0"/>
    <xf numFmtId="164" fontId="0" fillId="0" borderId="1" pivotButton="0" quotePrefix="0" xfId="0"/>
    <xf numFmtId="164" fontId="3" fillId="7" borderId="1" pivotButton="0" quotePrefix="0" xfId="0"/>
    <xf numFmtId="164" fontId="3" fillId="6" borderId="1" pivotButton="0" quotePrefix="0" xfId="0"/>
    <xf numFmtId="0" fontId="0" fillId="7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3" fillId="4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32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5" customWidth="1" min="3" max="3"/>
    <col width="15" customWidth="1" min="4" max="4"/>
    <col width="16" customWidth="1" min="5" max="5"/>
    <col width="12" customWidth="1" min="6" max="6"/>
    <col width="18" customWidth="1" min="7" max="7"/>
    <col width="15" customWidth="1" min="8" max="8"/>
    <col width="3" customWidth="1" min="9" max="9"/>
    <col width="17" customWidth="1" min="10" max="10"/>
    <col width="16" customWidth="1" min="11" max="11"/>
    <col width="16" customWidth="1" min="12" max="12"/>
    <col width="16" customWidth="1" min="13" max="13"/>
    <col width="15" customWidth="1" min="14" max="14"/>
    <col width="16" customWidth="1" min="15" max="15"/>
    <col width="12" customWidth="1" min="16" max="16"/>
    <col width="18" customWidth="1" min="17" max="17"/>
    <col width="15" customWidth="1" min="18" max="18"/>
  </cols>
  <sheetData>
    <row r="1" ht="26" customHeight="1">
      <c r="A1" s="1" t="inlineStr">
        <is>
          <t>Pricing Strategy Calculation Comparison</t>
        </is>
      </c>
    </row>
    <row r="3" ht="40" customHeight="1">
      <c r="A3" s="2" t="inlineStr">
        <is>
          <t>Editable Inputs</t>
        </is>
      </c>
      <c r="D3" s="3" t="inlineStr">
        <is>
          <t>Change the yellow input cells. Cost Based uses the Cost Basis. Current Regular Price first removes the Regular markup proportion, then applies each target markup.</t>
        </is>
      </c>
    </row>
    <row r="4">
      <c r="A4" s="4" t="inlineStr">
        <is>
          <t>Cost Basis</t>
        </is>
      </c>
      <c r="B4" s="5" t="n">
        <v>41.326</v>
      </c>
    </row>
    <row r="5">
      <c r="A5" s="4" t="inlineStr">
        <is>
          <t>Current Regular Net</t>
        </is>
      </c>
      <c r="B5" s="5" t="n">
        <v>59.091</v>
      </c>
    </row>
    <row r="6">
      <c r="A6" s="4" t="inlineStr">
        <is>
          <t>VAT %</t>
        </is>
      </c>
      <c r="B6" s="6" t="n">
        <v>10</v>
      </c>
    </row>
    <row r="7">
      <c r="A7" s="4" t="inlineStr">
        <is>
          <t>Regular Markup %</t>
        </is>
      </c>
      <c r="B7" s="6" t="n">
        <v>43</v>
      </c>
    </row>
    <row r="8">
      <c r="A8" s="4" t="inlineStr">
        <is>
          <t>B2B Markup %</t>
        </is>
      </c>
      <c r="B8" s="6" t="n">
        <v>33</v>
      </c>
    </row>
    <row r="9">
      <c r="A9" s="4" t="inlineStr">
        <is>
          <t>Qty 5–9 Markup %</t>
        </is>
      </c>
      <c r="B9" s="6" t="n">
        <v>31</v>
      </c>
    </row>
    <row r="10">
      <c r="A10" s="4" t="inlineStr">
        <is>
          <t>Qty 10–19 Markup %</t>
        </is>
      </c>
      <c r="B10" s="6" t="n">
        <v>29</v>
      </c>
    </row>
    <row r="11">
      <c r="A11" s="4" t="inlineStr">
        <is>
          <t>Qty 20–39 Markup %</t>
        </is>
      </c>
      <c r="B11" s="6" t="n">
        <v>27</v>
      </c>
    </row>
    <row r="12">
      <c r="A12" s="4" t="inlineStr">
        <is>
          <t>Qty 40+ Markup %</t>
        </is>
      </c>
      <c r="B12" s="6" t="n">
        <v>25</v>
      </c>
    </row>
    <row r="14">
      <c r="A14" s="7" t="inlineStr">
        <is>
          <t>1. Cost Based Calculation</t>
        </is>
      </c>
      <c r="J14" s="7" t="inlineStr">
        <is>
          <t>2. Current Regular Price Calculation</t>
        </is>
      </c>
    </row>
    <row r="15" ht="28" customHeight="1">
      <c r="A15" s="8" t="inlineStr">
        <is>
          <t>Price Level</t>
        </is>
      </c>
      <c r="B15" s="8" t="inlineStr">
        <is>
          <t>Markup %</t>
        </is>
      </c>
      <c r="C15" s="8" t="inlineStr">
        <is>
          <t>Pricing Base</t>
        </is>
      </c>
      <c r="D15" s="8" t="inlineStr">
        <is>
          <t>Raw Net</t>
        </is>
      </c>
      <c r="E15" s="8" t="inlineStr">
        <is>
          <t>Raw Incl. VAT</t>
        </is>
      </c>
      <c r="F15" s="8" t="inlineStr">
        <is>
          <t>Rounding</t>
        </is>
      </c>
      <c r="G15" s="8" t="inlineStr">
        <is>
          <t>Rounded Incl. VAT</t>
        </is>
      </c>
      <c r="H15" s="8" t="inlineStr">
        <is>
          <t>Final Net</t>
        </is>
      </c>
      <c r="J15" s="9" t="inlineStr">
        <is>
          <t>Price Level</t>
        </is>
      </c>
      <c r="K15" s="9" t="inlineStr">
        <is>
          <t>Target Markup %</t>
        </is>
      </c>
      <c r="L15" s="9" t="inlineStr">
        <is>
          <t>Regular Anchor</t>
        </is>
      </c>
      <c r="M15" s="9" t="inlineStr">
        <is>
          <t>Recovered Base</t>
        </is>
      </c>
      <c r="N15" s="9" t="inlineStr">
        <is>
          <t>Raw Net</t>
        </is>
      </c>
      <c r="O15" s="9" t="inlineStr">
        <is>
          <t>Raw Incl. VAT</t>
        </is>
      </c>
      <c r="P15" s="9" t="inlineStr">
        <is>
          <t>Rounding</t>
        </is>
      </c>
      <c r="Q15" s="9" t="inlineStr">
        <is>
          <t>Rounded Incl. VAT</t>
        </is>
      </c>
      <c r="R15" s="9" t="inlineStr">
        <is>
          <t>Final Net</t>
        </is>
      </c>
    </row>
    <row r="16" ht="28" customHeight="1">
      <c r="A16" s="4" t="inlineStr">
        <is>
          <t>Regular</t>
        </is>
      </c>
      <c r="B16" s="10">
        <f>$B$7</f>
        <v/>
      </c>
      <c r="C16" s="11">
        <f>$B$4</f>
        <v/>
      </c>
      <c r="D16" s="11">
        <f>C16*(1+B16/100)</f>
        <v/>
      </c>
      <c r="E16" s="11">
        <f>D16*(1+$B$6/100)</f>
        <v/>
      </c>
      <c r="F16" s="11">
        <f>IF(E16&lt;0.1,0.005,IF(E16&lt;30,0.1,IF(E16&lt;100,0.5,IF(E16&lt;1000,1,10))))</f>
        <v/>
      </c>
      <c r="G16" s="11">
        <f>CEILING(E16,F16)</f>
        <v/>
      </c>
      <c r="H16" s="12">
        <f>G16/(1+$B$6/100)</f>
        <v/>
      </c>
      <c r="J16" s="4" t="inlineStr">
        <is>
          <t>Regular</t>
        </is>
      </c>
      <c r="K16" s="10">
        <f>$B$7</f>
        <v/>
      </c>
      <c r="L16" s="11">
        <f>$B$5</f>
        <v/>
      </c>
      <c r="M16" s="11">
        <f>L16/(1+$B$7/100)</f>
        <v/>
      </c>
      <c r="N16" s="11">
        <f>L16</f>
        <v/>
      </c>
      <c r="O16" s="11">
        <f>N16*(1+$B$6/100)</f>
        <v/>
      </c>
      <c r="P16" s="11">
        <f>IF(O16&lt;0.1,0.005,IF(O16&lt;30,0.1,IF(O16&lt;100,0.5,IF(O16&lt;1000,1,10))))</f>
        <v/>
      </c>
      <c r="Q16" s="11">
        <f>O16</f>
        <v/>
      </c>
      <c r="R16" s="13">
        <f>Q16/(1+$B$6/100)</f>
        <v/>
      </c>
    </row>
    <row r="17" ht="28" customHeight="1">
      <c r="A17" s="4" t="inlineStr">
        <is>
          <t>B2B</t>
        </is>
      </c>
      <c r="B17" s="10">
        <f>$B$8</f>
        <v/>
      </c>
      <c r="C17" s="11">
        <f>$B$4</f>
        <v/>
      </c>
      <c r="D17" s="11">
        <f>C17*(1+B17/100)</f>
        <v/>
      </c>
      <c r="E17" s="11">
        <f>D17*(1+$B$6/100)</f>
        <v/>
      </c>
      <c r="F17" s="11">
        <f>IF(E17&lt;0.1,0.005,IF(E17&lt;30,0.1,IF(E17&lt;100,0.5,IF(E17&lt;1000,1,10))))</f>
        <v/>
      </c>
      <c r="G17" s="11">
        <f>CEILING(E17,F17)</f>
        <v/>
      </c>
      <c r="H17" s="12">
        <f>G17/(1+$B$6/100)</f>
        <v/>
      </c>
      <c r="J17" s="4" t="inlineStr">
        <is>
          <t>B2B</t>
        </is>
      </c>
      <c r="K17" s="10">
        <f>$B$8</f>
        <v/>
      </c>
      <c r="L17" s="11">
        <f>$B$5</f>
        <v/>
      </c>
      <c r="M17" s="11">
        <f>L17/(1+$B$7/100)</f>
        <v/>
      </c>
      <c r="N17" s="11">
        <f>M17*(1+K17/100)</f>
        <v/>
      </c>
      <c r="O17" s="11">
        <f>N17*(1+$B$6/100)</f>
        <v/>
      </c>
      <c r="P17" s="11">
        <f>IF(O17&lt;0.1,0.005,IF(O17&lt;30,0.1,IF(O17&lt;100,0.5,IF(O17&lt;1000,1,10))))</f>
        <v/>
      </c>
      <c r="Q17" s="11">
        <f>CEILING(O17,P17)</f>
        <v/>
      </c>
      <c r="R17" s="13">
        <f>Q17/(1+$B$6/100)</f>
        <v/>
      </c>
    </row>
    <row r="18" ht="28" customHeight="1">
      <c r="A18" s="4" t="inlineStr">
        <is>
          <t>Qty 5–9</t>
        </is>
      </c>
      <c r="B18" s="10">
        <f>$B$9</f>
        <v/>
      </c>
      <c r="C18" s="11">
        <f>$B$4</f>
        <v/>
      </c>
      <c r="D18" s="11">
        <f>C18*(1+B18/100)</f>
        <v/>
      </c>
      <c r="E18" s="11">
        <f>D18*(1+$B$6/100)</f>
        <v/>
      </c>
      <c r="F18" s="11">
        <f>IF(E18&lt;0.1,0.005,IF(E18&lt;30,0.1,IF(E18&lt;100,0.5,IF(E18&lt;1000,1,10))))</f>
        <v/>
      </c>
      <c r="G18" s="11">
        <f>CEILING(E18,F18)</f>
        <v/>
      </c>
      <c r="H18" s="12">
        <f>G18/(1+$B$6/100)</f>
        <v/>
      </c>
      <c r="J18" s="4" t="inlineStr">
        <is>
          <t>Qty 5–9</t>
        </is>
      </c>
      <c r="K18" s="10">
        <f>$B$9</f>
        <v/>
      </c>
      <c r="L18" s="11">
        <f>$B$5</f>
        <v/>
      </c>
      <c r="M18" s="11">
        <f>L18/(1+$B$7/100)</f>
        <v/>
      </c>
      <c r="N18" s="11">
        <f>M18*(1+K18/100)</f>
        <v/>
      </c>
      <c r="O18" s="11">
        <f>N18*(1+$B$6/100)</f>
        <v/>
      </c>
      <c r="P18" s="11">
        <f>IF(O18&lt;0.1,0.005,IF(O18&lt;30,0.1,IF(O18&lt;100,0.5,IF(O18&lt;1000,1,10))))</f>
        <v/>
      </c>
      <c r="Q18" s="11">
        <f>CEILING(O18,P18)</f>
        <v/>
      </c>
      <c r="R18" s="13">
        <f>Q18/(1+$B$6/100)</f>
        <v/>
      </c>
    </row>
    <row r="19" ht="28" customHeight="1">
      <c r="A19" s="4" t="inlineStr">
        <is>
          <t>Qty 10–19</t>
        </is>
      </c>
      <c r="B19" s="10">
        <f>$B$10</f>
        <v/>
      </c>
      <c r="C19" s="11">
        <f>$B$4</f>
        <v/>
      </c>
      <c r="D19" s="11">
        <f>C19*(1+B19/100)</f>
        <v/>
      </c>
      <c r="E19" s="11">
        <f>D19*(1+$B$6/100)</f>
        <v/>
      </c>
      <c r="F19" s="11">
        <f>IF(E19&lt;0.1,0.005,IF(E19&lt;30,0.1,IF(E19&lt;100,0.5,IF(E19&lt;1000,1,10))))</f>
        <v/>
      </c>
      <c r="G19" s="11">
        <f>CEILING(E19,F19)</f>
        <v/>
      </c>
      <c r="H19" s="12">
        <f>G19/(1+$B$6/100)</f>
        <v/>
      </c>
      <c r="J19" s="4" t="inlineStr">
        <is>
          <t>Qty 10–19</t>
        </is>
      </c>
      <c r="K19" s="10">
        <f>$B$10</f>
        <v/>
      </c>
      <c r="L19" s="11">
        <f>$B$5</f>
        <v/>
      </c>
      <c r="M19" s="11">
        <f>L19/(1+$B$7/100)</f>
        <v/>
      </c>
      <c r="N19" s="11">
        <f>M19*(1+K19/100)</f>
        <v/>
      </c>
      <c r="O19" s="11">
        <f>N19*(1+$B$6/100)</f>
        <v/>
      </c>
      <c r="P19" s="11">
        <f>IF(O19&lt;0.1,0.005,IF(O19&lt;30,0.1,IF(O19&lt;100,0.5,IF(O19&lt;1000,1,10))))</f>
        <v/>
      </c>
      <c r="Q19" s="11">
        <f>CEILING(O19,P19)</f>
        <v/>
      </c>
      <c r="R19" s="13">
        <f>Q19/(1+$B$6/100)</f>
        <v/>
      </c>
    </row>
    <row r="20" ht="28" customHeight="1">
      <c r="A20" s="4" t="inlineStr">
        <is>
          <t>Qty 20–39</t>
        </is>
      </c>
      <c r="B20" s="10">
        <f>$B$11</f>
        <v/>
      </c>
      <c r="C20" s="11">
        <f>$B$4</f>
        <v/>
      </c>
      <c r="D20" s="11">
        <f>C20*(1+B20/100)</f>
        <v/>
      </c>
      <c r="E20" s="11">
        <f>D20*(1+$B$6/100)</f>
        <v/>
      </c>
      <c r="F20" s="11">
        <f>IF(E20&lt;0.1,0.005,IF(E20&lt;30,0.1,IF(E20&lt;100,0.5,IF(E20&lt;1000,1,10))))</f>
        <v/>
      </c>
      <c r="G20" s="11">
        <f>CEILING(E20,F20)</f>
        <v/>
      </c>
      <c r="H20" s="12">
        <f>G20/(1+$B$6/100)</f>
        <v/>
      </c>
      <c r="J20" s="4" t="inlineStr">
        <is>
          <t>Qty 20–39</t>
        </is>
      </c>
      <c r="K20" s="10">
        <f>$B$11</f>
        <v/>
      </c>
      <c r="L20" s="11">
        <f>$B$5</f>
        <v/>
      </c>
      <c r="M20" s="11">
        <f>L20/(1+$B$7/100)</f>
        <v/>
      </c>
      <c r="N20" s="11">
        <f>M20*(1+K20/100)</f>
        <v/>
      </c>
      <c r="O20" s="11">
        <f>N20*(1+$B$6/100)</f>
        <v/>
      </c>
      <c r="P20" s="11">
        <f>IF(O20&lt;0.1,0.005,IF(O20&lt;30,0.1,IF(O20&lt;100,0.5,IF(O20&lt;1000,1,10))))</f>
        <v/>
      </c>
      <c r="Q20" s="11">
        <f>CEILING(O20,P20)</f>
        <v/>
      </c>
      <c r="R20" s="13">
        <f>Q20/(1+$B$6/100)</f>
        <v/>
      </c>
    </row>
    <row r="21" ht="28" customHeight="1">
      <c r="A21" s="4" t="inlineStr">
        <is>
          <t>Qty 40+</t>
        </is>
      </c>
      <c r="B21" s="10">
        <f>$B$12</f>
        <v/>
      </c>
      <c r="C21" s="11">
        <f>$B$4</f>
        <v/>
      </c>
      <c r="D21" s="11">
        <f>C21*(1+B21/100)</f>
        <v/>
      </c>
      <c r="E21" s="11">
        <f>D21*(1+$B$6/100)</f>
        <v/>
      </c>
      <c r="F21" s="11">
        <f>IF(E21&lt;0.1,0.005,IF(E21&lt;30,0.1,IF(E21&lt;100,0.5,IF(E21&lt;1000,1,10))))</f>
        <v/>
      </c>
      <c r="G21" s="11">
        <f>CEILING(E21,F21)</f>
        <v/>
      </c>
      <c r="H21" s="12">
        <f>G21/(1+$B$6/100)</f>
        <v/>
      </c>
      <c r="J21" s="4" t="inlineStr">
        <is>
          <t>Qty 40+</t>
        </is>
      </c>
      <c r="K21" s="10">
        <f>$B$12</f>
        <v/>
      </c>
      <c r="L21" s="11">
        <f>$B$5</f>
        <v/>
      </c>
      <c r="M21" s="11">
        <f>L21/(1+$B$7/100)</f>
        <v/>
      </c>
      <c r="N21" s="11">
        <f>M21*(1+K21/100)</f>
        <v/>
      </c>
      <c r="O21" s="11">
        <f>N21*(1+$B$6/100)</f>
        <v/>
      </c>
      <c r="P21" s="11">
        <f>IF(O21&lt;0.1,0.005,IF(O21&lt;30,0.1,IF(O21&lt;100,0.5,IF(O21&lt;1000,1,10))))</f>
        <v/>
      </c>
      <c r="Q21" s="11">
        <f>CEILING(O21,P21)</f>
        <v/>
      </c>
      <c r="R21" s="13">
        <f>Q21/(1+$B$6/100)</f>
        <v/>
      </c>
    </row>
    <row r="23">
      <c r="A23" s="14" t="inlineStr">
        <is>
          <t>Cost Based: Cost × (1 + Target Markup), then add VAT and round the gross price upward.</t>
        </is>
      </c>
      <c r="J23" s="15" t="inlineStr">
        <is>
          <t>Current Regular: Current Regular ÷ (1 + Regular Markup) × (1 + Target Markup), then add VAT and round upward.</t>
        </is>
      </c>
    </row>
    <row r="25">
      <c r="A25" s="2" t="inlineStr">
        <is>
          <t>Final Net Comparison</t>
        </is>
      </c>
    </row>
    <row r="26">
      <c r="A26" s="16" t="inlineStr">
        <is>
          <t>Price Level</t>
        </is>
      </c>
      <c r="B26" s="16" t="inlineStr">
        <is>
          <t>Cost Based</t>
        </is>
      </c>
      <c r="C26" s="16" t="inlineStr">
        <is>
          <t>Current Regular Based</t>
        </is>
      </c>
      <c r="D26" s="16" t="inlineStr">
        <is>
          <t>Difference</t>
        </is>
      </c>
      <c r="E26" s="16" t="inlineStr">
        <is>
          <t>Difference %</t>
        </is>
      </c>
    </row>
    <row r="27">
      <c r="A27" s="4" t="inlineStr">
        <is>
          <t>Regular</t>
        </is>
      </c>
      <c r="B27" s="11">
        <f>H16</f>
        <v/>
      </c>
      <c r="C27" s="11">
        <f>R16</f>
        <v/>
      </c>
      <c r="D27" s="11">
        <f>C27-B27</f>
        <v/>
      </c>
      <c r="E27" s="17">
        <f>IF(B27=0,0,D27/B27)</f>
        <v/>
      </c>
    </row>
    <row r="28">
      <c r="A28" s="4" t="inlineStr">
        <is>
          <t>B2B</t>
        </is>
      </c>
      <c r="B28" s="11">
        <f>H17</f>
        <v/>
      </c>
      <c r="C28" s="11">
        <f>R17</f>
        <v/>
      </c>
      <c r="D28" s="11">
        <f>C28-B28</f>
        <v/>
      </c>
      <c r="E28" s="17">
        <f>IF(B28=0,0,D28/B28)</f>
        <v/>
      </c>
    </row>
    <row r="29">
      <c r="A29" s="4" t="inlineStr">
        <is>
          <t>Qty 5–9</t>
        </is>
      </c>
      <c r="B29" s="11">
        <f>H18</f>
        <v/>
      </c>
      <c r="C29" s="11">
        <f>R18</f>
        <v/>
      </c>
      <c r="D29" s="11">
        <f>C29-B29</f>
        <v/>
      </c>
      <c r="E29" s="17">
        <f>IF(B29=0,0,D29/B29)</f>
        <v/>
      </c>
    </row>
    <row r="30">
      <c r="A30" s="4" t="inlineStr">
        <is>
          <t>Qty 10–19</t>
        </is>
      </c>
      <c r="B30" s="11">
        <f>H19</f>
        <v/>
      </c>
      <c r="C30" s="11">
        <f>R19</f>
        <v/>
      </c>
      <c r="D30" s="11">
        <f>C30-B30</f>
        <v/>
      </c>
      <c r="E30" s="17">
        <f>IF(B30=0,0,D30/B30)</f>
        <v/>
      </c>
    </row>
    <row r="31">
      <c r="A31" s="4" t="inlineStr">
        <is>
          <t>Qty 20–39</t>
        </is>
      </c>
      <c r="B31" s="11">
        <f>H20</f>
        <v/>
      </c>
      <c r="C31" s="11">
        <f>R20</f>
        <v/>
      </c>
      <c r="D31" s="11">
        <f>C31-B31</f>
        <v/>
      </c>
      <c r="E31" s="17">
        <f>IF(B31=0,0,D31/B31)</f>
        <v/>
      </c>
    </row>
    <row r="32">
      <c r="A32" s="4" t="inlineStr">
        <is>
          <t>Qty 40+</t>
        </is>
      </c>
      <c r="B32" s="11">
        <f>H21</f>
        <v/>
      </c>
      <c r="C32" s="11">
        <f>R21</f>
        <v/>
      </c>
      <c r="D32" s="11">
        <f>C32-B32</f>
        <v/>
      </c>
      <c r="E32" s="17">
        <f>IF(B32=0,0,D32/B32)</f>
        <v/>
      </c>
    </row>
  </sheetData>
  <autoFilter ref="A26:E32"/>
  <mergeCells count="6">
    <mergeCell ref="A1:R1"/>
    <mergeCell ref="D3:R3"/>
    <mergeCell ref="A14:H14"/>
    <mergeCell ref="J14:R14"/>
    <mergeCell ref="A23:H23"/>
    <mergeCell ref="J23:R23"/>
  </mergeCells>
  <printOptions horizontalCentered="1"/>
  <pageMargins left="0.25" right="0.2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2026-10-22T10:14:20Z</dcterms:created>
  <dcterms:modified xmlns:dcterms="http://purl.org/dc/terms/" xmlns:xsi="http://www.w3.org/2001/XMLSchema-instance" xsi:type="dcterms:W3CDTF">2026-10-22T10:14:20Z</dcterms:modified>
</cp:coreProperties>
</file>